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solidated Data" sheetId="2" state="visible" r:id="rId4"/>
    <sheet name="Summary by Study" sheetId="3" state="visible" r:id="rId5"/>
    <sheet name="Gap Log" sheetId="4" state="visible" r:id="rId6"/>
  </sheets>
  <definedNames>
    <definedName function="false" hidden="true" localSheetId="1" name="_xlnm._FilterDatabase" vbProcedure="false">'Consolidated Data'!$A$3:$H$41</definedName>
    <definedName function="false" hidden="false" localSheetId="0" name="_xlnm.Print_Area" vbProcedure="false">Dashboard!$A$1:$N$92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<sst xmlns="http://schemas.openxmlformats.org/spreadsheetml/2006/main" count="344" uniqueCount="151">
  <si>
    <t xml:space="preserve">WORK STUDY &amp; TIME-MOTION ANALYSIS DASHBOARD</t>
  </si>
  <si>
    <t xml:space="preserve">Consolidated Gap &amp; Utilization Analysis   |   Studies: UHT Cleaning Schedule · Nestamolt Filling (Nestamolt Tote Bin) · Tote Bin (Nestamolt and Milo) Work Schedule · Niro (3rd &amp; 4th Floors)</t>
  </si>
  <si>
    <t xml:space="preserve">TOTAL OBSERVED
TIME</t>
  </si>
  <si>
    <t xml:space="preserve">TOTAL PRODUCTIVE
TIME</t>
  </si>
  <si>
    <t xml:space="preserve">TOTAL TIME LOST
(Gap + Unobserved)</t>
  </si>
  <si>
    <t xml:space="preserve">OVERALL
UTILIZATION RATE</t>
  </si>
  <si>
    <t xml:space="preserve">TOTAL GAP
INSTANCES</t>
  </si>
  <si>
    <t xml:space="preserve">STUDIES
ANALYSED</t>
  </si>
  <si>
    <t xml:space="preserve">VISUAL ANALYSIS</t>
  </si>
  <si>
    <t xml:space="preserve">KEY FINDINGS &amp; RECOMMENDATIONS</t>
  </si>
  <si>
    <t xml:space="preserve">Highest single time loss</t>
  </si>
  <si>
    <t xml:space="preserve">Nestamolt Filling's study lost 120 minutes (2 hrs) of observation time because the observer was unavailable during breakfast &amp; the Daily Operations Review (DOR). This is the single largest gap across all four studies.</t>
  </si>
  <si>
    <t xml:space="preserve">Best utilization</t>
  </si>
  <si>
    <t xml:space="preserve">Niro (3rd &amp; 4th Floors) still has the highest utilization of the four studies (~89%) after adding its tea break (10:00-10:30) and the 10-minute gap that follows it — the only idle time recorded for this study.</t>
  </si>
  <si>
    <t xml:space="preserve">Recurring pattern</t>
  </si>
  <si>
    <t xml:space="preserve">Short 1-10 minute idle gaps appear between consecutive tasks (UHT, Nestamolt Filling, Tote Bin (Nestamolt and Milo), Niro) — typically material/tool retrieval or handover delays. Individually small, but they compound across a shift.</t>
  </si>
  <si>
    <t xml:space="preserve">Process discipline</t>
  </si>
  <si>
    <t xml:space="preserve">The 25-minute UHT gap before the CMP schedule and the 5-minute Nestamolt Filling post-break gap both point to scheduling/handover misalignment rather than worker inefficiency.</t>
  </si>
  <si>
    <t xml:space="preserve">CATEGORY LEGEND</t>
  </si>
  <si>
    <t xml:space="preserve">  </t>
  </si>
  <si>
    <t xml:space="preserve">Productive</t>
  </si>
  <si>
    <t xml:space="preserve">Break</t>
  </si>
  <si>
    <t xml:space="preserve">Gap (idle/unrecorded)</t>
  </si>
  <si>
    <t xml:space="preserve">Unobserved (study missed)</t>
  </si>
  <si>
    <t xml:space="preserve">Navigate: Consolidated Data (raw activity log) → Summary by Study (aggregated KPIs) → Gap Log (all identified gaps with root cause &amp; recommendation).</t>
  </si>
  <si>
    <t xml:space="preserve">CONSOLIDATED WORK-STUDY DATA — ALL STUDIES</t>
  </si>
  <si>
    <t xml:space="preserve">Study / Worker</t>
  </si>
  <si>
    <t xml:space="preserve">Plant / Section</t>
  </si>
  <si>
    <t xml:space="preserve">Activity</t>
  </si>
  <si>
    <t xml:space="preserve">Start</t>
  </si>
  <si>
    <t xml:space="preserve">End</t>
  </si>
  <si>
    <t xml:space="preserve">Duration (min)</t>
  </si>
  <si>
    <t xml:space="preserve">Category</t>
  </si>
  <si>
    <t xml:space="preserve">Notes</t>
  </si>
  <si>
    <t xml:space="preserve">UHT</t>
  </si>
  <si>
    <t xml:space="preserve">UHT Team</t>
  </si>
  <si>
    <t xml:space="preserve">Floor Cleaning</t>
  </si>
  <si>
    <t xml:space="preserve">09:00</t>
  </si>
  <si>
    <t xml:space="preserve">10:00</t>
  </si>
  <si>
    <t xml:space="preserve">Sweeping</t>
  </si>
  <si>
    <t xml:space="preserve">11:00</t>
  </si>
  <si>
    <t xml:space="preserve">Machine Cleaning</t>
  </si>
  <si>
    <t xml:space="preserve">11:20</t>
  </si>
  <si>
    <t xml:space="preserve">Windows Cleaning</t>
  </si>
  <si>
    <t xml:space="preserve">11:30</t>
  </si>
  <si>
    <t xml:space="preserve">Sticker Roller Assistant</t>
  </si>
  <si>
    <t xml:space="preserve">11:45</t>
  </si>
  <si>
    <t xml:space="preserve">Railings Cleaning</t>
  </si>
  <si>
    <t xml:space="preserve">13:00</t>
  </si>
  <si>
    <t xml:space="preserve">Tea Break</t>
  </si>
  <si>
    <t xml:space="preserve">13:35</t>
  </si>
  <si>
    <t xml:space="preserve">Idle Gap (waiting for CMP schedule)</t>
  </si>
  <si>
    <t xml:space="preserve">14:00</t>
  </si>
  <si>
    <t xml:space="preserve">Gap</t>
  </si>
  <si>
    <t xml:space="preserve">25-minute gap before CMP schedule starts</t>
  </si>
  <si>
    <t xml:space="preserve">Nestamolt Filling</t>
  </si>
  <si>
    <t xml:space="preserve">Nestamolt Tote Bin</t>
  </si>
  <si>
    <t xml:space="preserve">GSO Cleaning</t>
  </si>
  <si>
    <t xml:space="preserve">06:00</t>
  </si>
  <si>
    <t xml:space="preserve">06:30</t>
  </si>
  <si>
    <t xml:space="preserve">Remove Stickers</t>
  </si>
  <si>
    <t xml:space="preserve">06:45</t>
  </si>
  <si>
    <t xml:space="preserve">Put Stickers</t>
  </si>
  <si>
    <t xml:space="preserve">07:00</t>
  </si>
  <si>
    <t xml:space="preserve">Study Unobserved (Breakfast &amp; DOR in HR)</t>
  </si>
  <si>
    <t xml:space="preserve">Unobserved</t>
  </si>
  <si>
    <t xml:space="preserve">Observer unavailable</t>
  </si>
  <si>
    <t xml:space="preserve">Cleaning Machine Platforms</t>
  </si>
  <si>
    <t xml:space="preserve">10:30</t>
  </si>
  <si>
    <t xml:space="preserve">Crivert Measure</t>
  </si>
  <si>
    <t xml:space="preserve">12:00</t>
  </si>
  <si>
    <t xml:space="preserve">12:30</t>
  </si>
  <si>
    <t xml:space="preserve">Idle Gap (post tea break)</t>
  </si>
  <si>
    <t xml:space="preserve">12:35</t>
  </si>
  <si>
    <t xml:space="preserve">5-minute gap between tea break end and floor cleaning start</t>
  </si>
  <si>
    <t xml:space="preserve">Tote Bin (Nestamolt and Milo)</t>
  </si>
  <si>
    <t xml:space="preserve">Not Specified</t>
  </si>
  <si>
    <t xml:space="preserve">Wet Mixture</t>
  </si>
  <si>
    <t xml:space="preserve">08:30</t>
  </si>
  <si>
    <t xml:space="preserve">08:50</t>
  </si>
  <si>
    <t xml:space="preserve">Mopping</t>
  </si>
  <si>
    <t xml:space="preserve">09:15</t>
  </si>
  <si>
    <t xml:space="preserve">Idle Gap</t>
  </si>
  <si>
    <t xml:space="preserve">09:25</t>
  </si>
  <si>
    <t xml:space="preserve">Unrecorded idle time between tasks</t>
  </si>
  <si>
    <t xml:space="preserve">Outside Machine Cleaning</t>
  </si>
  <si>
    <t xml:space="preserve">09:40</t>
  </si>
  <si>
    <t xml:space="preserve">Gap Cleaning (task name)</t>
  </si>
  <si>
    <t xml:space="preserve">10:15</t>
  </si>
  <si>
    <t xml:space="preserve">Task literally named 'Gap Cleaning' - not an idle gap</t>
  </si>
  <si>
    <t xml:space="preserve">Staircase Mopping &amp; Hand Rails Cleaning</t>
  </si>
  <si>
    <t xml:space="preserve">10:40</t>
  </si>
  <si>
    <t xml:space="preserve">Main Door Cleaning</t>
  </si>
  <si>
    <t xml:space="preserve">10:43</t>
  </si>
  <si>
    <t xml:space="preserve">10:44</t>
  </si>
  <si>
    <t xml:space="preserve">Micro-gap between tasks</t>
  </si>
  <si>
    <t xml:space="preserve">Outside Dryer Cleaning</t>
  </si>
  <si>
    <t xml:space="preserve">Waste Remove</t>
  </si>
  <si>
    <t xml:space="preserve">Wall Clean</t>
  </si>
  <si>
    <t xml:space="preserve">Cob Webs</t>
  </si>
  <si>
    <t xml:space="preserve">Tea Time</t>
  </si>
  <si>
    <t xml:space="preserve">Niro</t>
  </si>
  <si>
    <t xml:space="preserve">Niro 3rd &amp; 4th Floors</t>
  </si>
  <si>
    <t xml:space="preserve">Floor Shoe Bench Cleaning</t>
  </si>
  <si>
    <t xml:space="preserve">08:45</t>
  </si>
  <si>
    <t xml:space="preserve">Lift Cleaning</t>
  </si>
  <si>
    <t xml:space="preserve">09:10</t>
  </si>
  <si>
    <t xml:space="preserve">Dry Cleaning</t>
  </si>
  <si>
    <t xml:space="preserve">09:30</t>
  </si>
  <si>
    <t xml:space="preserve">VF Machine Cleaning</t>
  </si>
  <si>
    <t xml:space="preserve">10-minute gap between tea break end and Platform &amp; Separator Cleaning start</t>
  </si>
  <si>
    <t xml:space="preserve">Platform &amp; Separator Cleaning</t>
  </si>
  <si>
    <t xml:space="preserve">13:10</t>
  </si>
  <si>
    <t xml:space="preserve">Waste Removal</t>
  </si>
  <si>
    <t xml:space="preserve">14:40</t>
  </si>
  <si>
    <t xml:space="preserve">TOTAL</t>
  </si>
  <si>
    <t xml:space="preserve">SUMMARY BY STUDY — TIME ALLOCATION &amp; UTILIZATION</t>
  </si>
  <si>
    <t xml:space="preserve">Study</t>
  </si>
  <si>
    <t xml:space="preserve">Total Observed (min)</t>
  </si>
  <si>
    <t xml:space="preserve">Productive (min)</t>
  </si>
  <si>
    <t xml:space="preserve">Break (min)</t>
  </si>
  <si>
    <t xml:space="preserve">Gap (min)</t>
  </si>
  <si>
    <t xml:space="preserve">Unobserved (min)</t>
  </si>
  <si>
    <t xml:space="preserve">Time Lost (min)</t>
  </si>
  <si>
    <t xml:space="preserve">Total Observed (hrs)</t>
  </si>
  <si>
    <t xml:space="preserve">Utilization %</t>
  </si>
  <si>
    <t xml:space="preserve">Gap Instances</t>
  </si>
  <si>
    <t xml:space="preserve">TOTAL / OVERALL</t>
  </si>
  <si>
    <t xml:space="preserve">Helper values for Dashboard (hours):</t>
  </si>
  <si>
    <t xml:space="preserve">Total Productive (hrs)</t>
  </si>
  <si>
    <t xml:space="preserve">Total Time Lost (hrs)</t>
  </si>
  <si>
    <t xml:space="preserve">Overall Utilization %</t>
  </si>
  <si>
    <t xml:space="preserve">Overall Category Split (helper for chart):</t>
  </si>
  <si>
    <t xml:space="preserve">GAP LOG — IDENTIFIED IDLE TIME, OBSERVATION GAPS &amp; RISK FLAGS</t>
  </si>
  <si>
    <t xml:space="preserve">Gap Type</t>
  </si>
  <si>
    <t xml:space="preserve">Description / Cause</t>
  </si>
  <si>
    <t xml:space="preserve">Recommendation</t>
  </si>
  <si>
    <t xml:space="preserve">Idle wait before CMP schedule starts</t>
  </si>
  <si>
    <t xml:space="preserve">Align cleaning-team finish time with CMP schedule start to remove the idle wait</t>
  </si>
  <si>
    <t xml:space="preserve">Observation Gap</t>
  </si>
  <si>
    <t xml:space="preserve">No study observation recorded — observer unavailable during breakfast &amp; DOR (Daily Operations Review) in HR</t>
  </si>
  <si>
    <t xml:space="preserve">Arrange observer coverage / relief during meetings and breakfast so study time is not lost</t>
  </si>
  <si>
    <t xml:space="preserve">Gap between tea-break end and floor-cleaning start</t>
  </si>
  <si>
    <t xml:space="preserve">Standardise the break-to-task handover so work resumes immediately after breaks</t>
  </si>
  <si>
    <t xml:space="preserve">Unrecorded idle time between Mopping and Outside Machine Cleaning</t>
  </si>
  <si>
    <t xml:space="preserve">Investigate cause (material/tool retrieval, waiting) and tighten task sequencing</t>
  </si>
  <si>
    <t xml:space="preserve">Micro-gap between Main Door Cleaning and Outside Dryer Cleaning</t>
  </si>
  <si>
    <t xml:space="preserve">Negligible — monitor for recurrence across future studies</t>
  </si>
  <si>
    <t xml:space="preserve">Idle gap between tea break end and Platform &amp; Separator Cleaning start</t>
  </si>
  <si>
    <t xml:space="preserve">Standardise the break-to-task handover so work resumes promptly after the tea break</t>
  </si>
  <si>
    <t xml:space="preserve">TOTAL GAP/RISK TIME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</si>
</sst>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&quot; hrs&quot;"/>
    <numFmt numFmtId="166" formatCode="0.0\%"/>
    <numFmt numFmtId="167" formatCode="0"/>
    <numFmt numFmtId="168" formatCode="0.0%"/>
    <numFmt numFmtId="169" formatCode="0%"/>
    <numFmt numFmtId="170" formatCode="General"/>
    <numFmt numFmtId="171" formatCode="0.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3A3F50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22"/>
      <color rgb="FF1B2340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b val="true"/>
      <sz val="22"/>
      <color rgb="FFD64550"/>
      <name val="Arial"/>
      <family val="0"/>
      <charset val="1"/>
    </font>
    <font>
      <b val="true"/>
      <sz val="22"/>
      <color rgb="FF1F6FEB"/>
      <name val="Arial"/>
      <family val="0"/>
      <charset val="1"/>
    </font>
    <font>
      <b val="true"/>
      <sz val="22"/>
      <color rgb="FFB5760C"/>
      <name val="Arial"/>
      <family val="0"/>
      <charset val="1"/>
    </font>
    <font>
      <b val="true"/>
      <sz val="22"/>
      <color rgb="FF3A3F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.5"/>
      <color rgb="FF3A3F50"/>
      <name val="Arial"/>
      <family val="0"/>
      <charset val="1"/>
    </font>
    <font>
      <sz val="9"/>
      <color rgb="FF3A3F50"/>
      <name val="Arial"/>
      <family val="0"/>
      <charset val="1"/>
    </font>
    <font>
      <i val="true"/>
      <sz val="8.5"/>
      <color rgb="FF3A3F5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sz val="9.5"/>
      <color rgb="FF000000"/>
      <name val="Arial"/>
      <family val="0"/>
      <charset val="1"/>
    </font>
    <font>
      <b val="true"/>
      <sz val="9.5"/>
      <color rgb="FF2E7D32"/>
      <name val="Arial"/>
      <family val="0"/>
      <charset val="1"/>
    </font>
    <font>
      <b val="true"/>
      <sz val="9.5"/>
      <color rgb="FFB5760C"/>
      <name val="Arial"/>
      <family val="0"/>
      <charset val="1"/>
    </font>
    <font>
      <b val="true"/>
      <sz val="9.5"/>
      <color rgb="FFD64550"/>
      <name val="Arial"/>
      <family val="0"/>
      <charset val="1"/>
    </font>
    <font>
      <b val="true"/>
      <sz val="9.5"/>
      <color rgb="FF8C93A6"/>
      <name val="Arial"/>
      <family val="0"/>
      <charset val="1"/>
    </font>
    <font>
      <b val="true"/>
      <sz val="10"/>
      <color rgb="FF101423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01423"/>
        <bgColor rgb="FF1B2340"/>
      </patternFill>
    </fill>
    <fill>
      <patternFill patternType="solid">
        <fgColor rgb="FF1B2340"/>
        <bgColor rgb="FF101423"/>
      </patternFill>
    </fill>
    <fill>
      <patternFill patternType="solid">
        <fgColor rgb="FF2E7D32"/>
        <bgColor rgb="FF008000"/>
      </patternFill>
    </fill>
    <fill>
      <patternFill patternType="solid">
        <fgColor rgb="FFD64550"/>
        <bgColor rgb="FF993366"/>
      </patternFill>
    </fill>
    <fill>
      <patternFill patternType="solid">
        <fgColor rgb="FF1F6FEB"/>
        <bgColor rgb="FF0066CC"/>
      </patternFill>
    </fill>
    <fill>
      <patternFill patternType="solid">
        <fgColor rgb="FFB5760C"/>
        <bgColor rgb="FFFF6600"/>
      </patternFill>
    </fill>
    <fill>
      <patternFill patternType="solid">
        <fgColor rgb="FF3A3F50"/>
        <bgColor rgb="FF333399"/>
      </patternFill>
    </fill>
    <fill>
      <patternFill patternType="solid">
        <fgColor rgb="FFE9EEF9"/>
        <bgColor rgb="FFF4F5F7"/>
      </patternFill>
    </fill>
    <fill>
      <patternFill patternType="solid">
        <fgColor rgb="FFF4F5F7"/>
        <bgColor rgb="FFE9EEF9"/>
      </patternFill>
    </fill>
    <fill>
      <patternFill patternType="solid">
        <fgColor rgb="FF8C93A6"/>
        <bgColor rgb="FF878787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D0D3DC"/>
      </left>
      <right style="thin">
        <color rgb="FFD0D3DC"/>
      </right>
      <top style="thin">
        <color rgb="FFD0D3DC"/>
      </top>
      <bottom style="thin">
        <color rgb="FFD0D3DC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1B2340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2E7D32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D64550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1F6FEB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B5760C"/>
      </bottom>
      <diagonal/>
    </border>
    <border diagonalUp="false" diagonalDown="false">
      <left style="thin">
        <color rgb="FFD0D3DC"/>
      </left>
      <right style="thin">
        <color rgb="FFD0D3DC"/>
      </right>
      <top/>
      <bottom style="medium">
        <color rgb="FF3A3F50"/>
      </bottom>
      <diagonal/>
    </border>
    <border diagonalUp="false" diagonalDown="false">
      <left/>
      <right/>
      <top style="double">
        <color rgb="FF10142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340"/>
          <bgColor rgb="FF000000"/>
        </patternFill>
      </fill>
    </dxf>
    <dxf>
      <fill>
        <patternFill patternType="solid">
          <fgColor rgb="FFF4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C93A6"/>
          <bgColor rgb="FF000000"/>
        </patternFill>
      </fill>
    </dxf>
    <dxf>
      <fill>
        <patternFill patternType="solid">
          <fgColor rgb="FFB5760C"/>
          <bgColor rgb="FF000000"/>
        </patternFill>
      </fill>
    </dxf>
    <dxf>
      <fill>
        <patternFill patternType="solid">
          <fgColor rgb="FFD64550"/>
          <bgColor rgb="FF000000"/>
        </patternFill>
      </fill>
    </dxf>
    <dxf>
      <fill>
        <patternFill patternType="solid">
          <fgColor rgb="FF3A3F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760C"/>
      <rgbColor rgb="FF800080"/>
      <rgbColor rgb="FF008080"/>
      <rgbColor rgb="FFD9D9D9"/>
      <rgbColor rgb="FF878787"/>
      <rgbColor rgb="FF9999FF"/>
      <rgbColor rgb="FFD64550"/>
      <rgbColor rgb="FFF4F5F7"/>
      <rgbColor rgb="FFE9EEF9"/>
      <rgbColor rgb="FF660066"/>
      <rgbColor rgb="FFFF8080"/>
      <rgbColor rgb="FF0066CC"/>
      <rgbColor rgb="FFD0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8C93A6"/>
      <rgbColor rgb="FF1B2340"/>
      <rgbColor rgb="FF2E7D32"/>
      <rgbColor rgb="FF101423"/>
      <rgbColor rgb="FF333300"/>
      <rgbColor rgb="FF993300"/>
      <rgbColor rgb="FF993366"/>
      <rgbColor rgb="FF333399"/>
      <rgbColor rgb="FF3A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Utilization Rate by Study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by Study'!I3</c:f>
              <c:strCache>
                <c:ptCount val="1"/>
                <c:pt idx="0">
                  <c:v>Utilization %</c:v>
                </c:pt>
              </c:strCache>
            </c:strRef>
          </c:tx>
          <c:spPr>
            <a:solidFill>
              <a:srgbClr val="1f6feb"/>
            </a:solidFill>
            <a:ln w="0">
              <a:noFill/>
            </a:ln>
          </c:spPr>
          <c:invertIfNegative val="0"/>
          <c:dLbls>
            <c:numFmt formatCode="0.0%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Nestamolt Filling</c:v>
                </c:pt>
                <c:pt idx="2">
                  <c:v>Tote Bin (Nestamolt and Milo)</c:v>
                </c:pt>
                <c:pt idx="3">
                  <c:v>Niro</c:v>
                </c:pt>
              </c:strCache>
            </c:strRef>
          </c:cat>
          <c:val>
            <c:numRef>
              <c:f>'Summary by Study'!$I$4:$I$7</c:f>
              <c:numCache>
                <c:formatCode>0.0%</c:formatCode>
                <c:ptCount val="4"/>
                <c:pt idx="0">
                  <c:v>0.8</c:v>
                </c:pt>
                <c:pt idx="1">
                  <c:v>0.677083333333333</c:v>
                </c:pt>
                <c:pt idx="2">
                  <c:v>0.829166666666667</c:v>
                </c:pt>
                <c:pt idx="3">
                  <c:v>0.891891891891892</c:v>
                </c:pt>
              </c:numCache>
            </c:numRef>
          </c:val>
        </c:ser>
        <c:gapWidth val="150"/>
        <c:overlap val="0"/>
        <c:axId val="74135057"/>
        <c:axId val="92496171"/>
      </c:barChart>
      <c:catAx>
        <c:axId val="74135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96171"/>
        <c:crosses val="autoZero"/>
        <c:auto val="1"/>
        <c:lblAlgn val="ctr"/>
        <c:lblOffset val="100"/>
        <c:noMultiLvlLbl val="0"/>
      </c:catAx>
      <c:valAx>
        <c:axId val="92496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Utilization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35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Allocation by Study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'Summary by Study'!C3</c:f>
              <c:strCache>
                <c:ptCount val="1"/>
                <c:pt idx="0">
                  <c:v>Productive (min)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Nestamolt Filling</c:v>
                </c:pt>
                <c:pt idx="2">
                  <c:v>Tote Bin (Nestamolt and Milo)</c:v>
                </c:pt>
                <c:pt idx="3">
                  <c:v>Niro</c:v>
                </c:pt>
              </c:strCache>
            </c:strRef>
          </c:cat>
          <c:val>
            <c:numRef>
              <c:f>'Summary by Study'!$C$4:$C$7</c:f>
              <c:numCache>
                <c:formatCode>General</c:formatCode>
                <c:ptCount val="4"/>
                <c:pt idx="0">
                  <c:v>240</c:v>
                </c:pt>
                <c:pt idx="1">
                  <c:v>325</c:v>
                </c:pt>
                <c:pt idx="2">
                  <c:v>199</c:v>
                </c:pt>
                <c:pt idx="3">
                  <c:v>330</c:v>
                </c:pt>
              </c:numCache>
            </c:numRef>
          </c:val>
        </c:ser>
        <c:ser>
          <c:idx val="1"/>
          <c:order val="1"/>
          <c:tx>
            <c:strRef>
              <c:f>'Summary by Study'!D3</c:f>
              <c:strCache>
                <c:ptCount val="1"/>
                <c:pt idx="0">
                  <c:v>Break (min)</c:v>
                </c:pt>
              </c:strCache>
            </c:strRef>
          </c:tx>
          <c:spPr>
            <a:solidFill>
              <a:srgbClr val="b5760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Nestamolt Filling</c:v>
                </c:pt>
                <c:pt idx="2">
                  <c:v>Tote Bin (Nestamolt and Milo)</c:v>
                </c:pt>
                <c:pt idx="3">
                  <c:v>Niro</c:v>
                </c:pt>
              </c:strCache>
            </c:strRef>
          </c:cat>
          <c:val>
            <c:numRef>
              <c:f>'Summary by Study'!$D$4:$D$7</c:f>
              <c:numCache>
                <c:formatCode>General</c:formatCode>
                <c:ptCount val="4"/>
                <c:pt idx="0">
                  <c:v>35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</c:numCache>
            </c:numRef>
          </c:val>
        </c:ser>
        <c:ser>
          <c:idx val="2"/>
          <c:order val="2"/>
          <c:tx>
            <c:strRef>
              <c:f>'Summary by Study'!E3</c:f>
              <c:strCache>
                <c:ptCount val="1"/>
                <c:pt idx="0">
                  <c:v>Gap (min)</c:v>
                </c:pt>
              </c:strCache>
            </c:strRef>
          </c:tx>
          <c:spPr>
            <a:solidFill>
              <a:srgbClr val="d6455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Nestamolt Filling</c:v>
                </c:pt>
                <c:pt idx="2">
                  <c:v>Tote Bin (Nestamolt and Milo)</c:v>
                </c:pt>
                <c:pt idx="3">
                  <c:v>Niro</c:v>
                </c:pt>
              </c:strCache>
            </c:strRef>
          </c:cat>
          <c:val>
            <c:numRef>
              <c:f>'Summary by Study'!$E$4:$E$7</c:f>
              <c:numCache>
                <c:formatCode>General</c:formatCode>
                <c:ptCount val="4"/>
                <c:pt idx="0">
                  <c:v>25</c:v>
                </c:pt>
                <c:pt idx="1">
                  <c:v>5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</c:ser>
        <c:ser>
          <c:idx val="3"/>
          <c:order val="3"/>
          <c:tx>
            <c:strRef>
              <c:f>'Summary by Study'!F3</c:f>
              <c:strCache>
                <c:ptCount val="1"/>
                <c:pt idx="0">
                  <c:v>Unobserved (min)</c:v>
                </c:pt>
              </c:strCache>
            </c:strRef>
          </c:tx>
          <c:spPr>
            <a:solidFill>
              <a:srgbClr val="8c93a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Nestamolt Filling</c:v>
                </c:pt>
                <c:pt idx="2">
                  <c:v>Tote Bin (Nestamolt and Milo)</c:v>
                </c:pt>
                <c:pt idx="3">
                  <c:v>Niro</c:v>
                </c:pt>
              </c:strCache>
            </c:strRef>
          </c:cat>
          <c:val>
            <c:numRef>
              <c:f>'Summary by Study'!$F$4:$F$7</c:f>
              <c:numCache>
                <c:formatCode>General</c:formatCode>
                <c:ptCount val="4"/>
                <c:pt idx="0">
                  <c:v>0</c:v>
                </c:pt>
                <c:pt idx="1">
                  <c:v>120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100"/>
        <c:axId val="44063933"/>
        <c:axId val="83926761"/>
      </c:barChart>
      <c:catAx>
        <c:axId val="440639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26761"/>
        <c:crosses val="autoZero"/>
        <c:auto val="1"/>
        <c:lblAlgn val="ctr"/>
        <c:lblOffset val="100"/>
        <c:noMultiLvlLbl val="0"/>
      </c:catAx>
      <c:valAx>
        <c:axId val="83926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639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Overall Time Category Share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7d32"/>
              </a:solidFill>
              <a:ln w="0">
                <a:noFill/>
              </a:ln>
            </c:spPr>
          </c:dPt>
          <c:dPt>
            <c:idx val="1"/>
            <c:spPr>
              <a:solidFill>
                <a:srgbClr val="b5760c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6455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c93a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by Study'!$A$16:$A$19</c:f>
              <c:strCache>
                <c:ptCount val="4"/>
                <c:pt idx="0">
                  <c:v>Productive</c:v>
                </c:pt>
                <c:pt idx="1">
                  <c:v>Break</c:v>
                </c:pt>
                <c:pt idx="2">
                  <c:v>Gap</c:v>
                </c:pt>
                <c:pt idx="3">
                  <c:v>Unobserved</c:v>
                </c:pt>
              </c:strCache>
            </c:strRef>
          </c:cat>
          <c:val>
            <c:numRef>
              <c:f>'Summary by Study'!$B$16:$B$19</c:f>
              <c:numCache>
                <c:formatCode>General</c:formatCode>
                <c:ptCount val="4"/>
                <c:pt idx="0">
                  <c:v>1094</c:v>
                </c:pt>
                <c:pt idx="1">
                  <c:v>125</c:v>
                </c:pt>
                <c:pt idx="2">
                  <c:v>51</c:v>
                </c:pt>
                <c:pt idx="3">
                  <c:v>120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Lost by Study — Gap + Unobserved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by Study'!G3</c:f>
              <c:strCache>
                <c:ptCount val="1"/>
                <c:pt idx="0">
                  <c:v>Time Lost (min)</c:v>
                </c:pt>
              </c:strCache>
            </c:strRef>
          </c:tx>
          <c:spPr>
            <a:solidFill>
              <a:srgbClr val="d6455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by Study'!$A$4:$A$7</c:f>
              <c:strCache>
                <c:ptCount val="4"/>
                <c:pt idx="0">
                  <c:v>UHT</c:v>
                </c:pt>
                <c:pt idx="1">
                  <c:v>Nestamolt Filling</c:v>
                </c:pt>
                <c:pt idx="2">
                  <c:v>Tote Bin (Nestamolt and Milo)</c:v>
                </c:pt>
                <c:pt idx="3">
                  <c:v>Niro</c:v>
                </c:pt>
              </c:strCache>
            </c:strRef>
          </c:cat>
          <c:val>
            <c:numRef>
              <c:f>'Summary by Study'!$G$4:$G$7</c:f>
              <c:numCache>
                <c:formatCode>General</c:formatCode>
                <c:ptCount val="4"/>
                <c:pt idx="0">
                  <c:v>25</c:v>
                </c:pt>
                <c:pt idx="1">
                  <c:v>125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</c:ser>
        <c:gapWidth val="150"/>
        <c:overlap val="0"/>
        <c:axId val="41608844"/>
        <c:axId val="11875557"/>
      </c:barChart>
      <c:catAx>
        <c:axId val="416088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75557"/>
        <c:crosses val="autoZero"/>
        <c:auto val="1"/>
        <c:lblAlgn val="ctr"/>
        <c:lblOffset val="100"/>
        <c:noMultiLvlLbl val="0"/>
      </c:catAx>
      <c:valAx>
        <c:axId val="11875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088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6</xdr:col>
      <xdr:colOff>293040</xdr:colOff>
      <xdr:row>28</xdr:row>
      <xdr:rowOff>11520</xdr:rowOff>
    </xdr:to>
    <xdr:graphicFrame>
      <xdr:nvGraphicFramePr>
        <xdr:cNvPr id="0" name="Chart 1"/>
        <xdr:cNvGraphicFramePr/>
      </xdr:nvGraphicFramePr>
      <xdr:xfrm>
        <a:off x="211320" y="26002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12</xdr:col>
      <xdr:colOff>293400</xdr:colOff>
      <xdr:row>28</xdr:row>
      <xdr:rowOff>11520</xdr:rowOff>
    </xdr:to>
    <xdr:graphicFrame>
      <xdr:nvGraphicFramePr>
        <xdr:cNvPr id="1" name="Chart 2"/>
        <xdr:cNvGraphicFramePr/>
      </xdr:nvGraphicFramePr>
      <xdr:xfrm>
        <a:off x="6555240" y="26002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293040</xdr:colOff>
      <xdr:row>46</xdr:row>
      <xdr:rowOff>11520</xdr:rowOff>
    </xdr:to>
    <xdr:graphicFrame>
      <xdr:nvGraphicFramePr>
        <xdr:cNvPr id="2" name="Chart 3"/>
        <xdr:cNvGraphicFramePr/>
      </xdr:nvGraphicFramePr>
      <xdr:xfrm>
        <a:off x="211320" y="60292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12</xdr:col>
      <xdr:colOff>293400</xdr:colOff>
      <xdr:row>46</xdr:row>
      <xdr:rowOff>11520</xdr:rowOff>
    </xdr:to>
    <xdr:graphicFrame>
      <xdr:nvGraphicFramePr>
        <xdr:cNvPr id="3" name="Chart 4"/>
        <xdr:cNvGraphicFramePr/>
      </xdr:nvGraphicFramePr>
      <xdr:xfrm>
        <a:off x="6555240" y="6029280"/>
        <a:ext cx="55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1423"/>
    <pageSetUpPr fitToPage="true"/>
  </sheetPr>
  <dimension ref="B2:N6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3" min="2" style="0" width="15"/>
    <col collapsed="false" customWidth="true" hidden="false" outlineLevel="0" max="14" min="14" style="0" width="3"/>
  </cols>
  <sheetData>
    <row r="2" customFormat="false" ht="21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21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customFormat="false" ht="6" hidden="false" customHeight="true" outlineLevel="0" collapsed="false"/>
    <row r="6" customFormat="false" ht="25.5" hidden="false" customHeight="true" outlineLevel="0" collapsed="false">
      <c r="B6" s="3" t="s">
        <v>2</v>
      </c>
      <c r="C6" s="3"/>
      <c r="D6" s="4" t="s">
        <v>3</v>
      </c>
      <c r="E6" s="4"/>
      <c r="F6" s="5" t="s">
        <v>4</v>
      </c>
      <c r="G6" s="5"/>
      <c r="H6" s="6" t="s">
        <v>5</v>
      </c>
      <c r="I6" s="6"/>
      <c r="J6" s="7" t="s">
        <v>6</v>
      </c>
      <c r="K6" s="7"/>
      <c r="L6" s="8" t="s">
        <v>7</v>
      </c>
      <c r="M6" s="8"/>
    </row>
    <row r="7" customFormat="false" ht="36" hidden="false" customHeight="true" outlineLevel="0" collapsed="false">
      <c r="B7" s="9" t="n">
        <f aca="false">'Summary by Study'!B11</f>
        <v>23.1666666666667</v>
      </c>
      <c r="C7" s="9"/>
      <c r="D7" s="10" t="n">
        <f aca="false">'Summary by Study'!B12</f>
        <v>18.2333333333333</v>
      </c>
      <c r="E7" s="10"/>
      <c r="F7" s="11" t="n">
        <f aca="false">'Summary by Study'!B13</f>
        <v>2.85</v>
      </c>
      <c r="G7" s="11"/>
      <c r="H7" s="12" t="n">
        <f aca="false">'Summary by Study'!B14</f>
        <v>78.705035971223</v>
      </c>
      <c r="I7" s="12"/>
      <c r="J7" s="13" t="n">
        <f aca="false">COUNTIF('Gap Log'!B4:B9,"Gap")</f>
        <v>5</v>
      </c>
      <c r="K7" s="13"/>
      <c r="L7" s="14" t="n">
        <v>4</v>
      </c>
      <c r="M7" s="14"/>
    </row>
    <row r="8" customFormat="false" ht="6" hidden="false" customHeight="true" outlineLevel="0" collapsed="false"/>
    <row r="9" customFormat="false" ht="7.5" hidden="false" customHeight="true" outlineLevel="0" collapsed="false"/>
    <row r="11" customFormat="false" ht="19.5" hidden="false" customHeight="true" outlineLevel="0" collapsed="false">
      <c r="B11" s="15" t="s">
        <v>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50" customFormat="false" ht="19.5" hidden="false" customHeight="true" outlineLevel="0" collapsed="false">
      <c r="B50" s="15" t="s">
        <v>9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2" customFormat="false" ht="15" hidden="false" customHeight="true" outlineLevel="0" collapsed="false">
      <c r="B52" s="16" t="s">
        <v>10</v>
      </c>
      <c r="C52" s="16"/>
      <c r="D52" s="17" t="s">
        <v>11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customFormat="false" ht="15" hidden="false" customHeight="true" outlineLevel="0" collapsed="false"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5" customFormat="false" ht="15" hidden="false" customHeight="true" outlineLevel="0" collapsed="false">
      <c r="B55" s="18" t="s">
        <v>12</v>
      </c>
      <c r="C55" s="18"/>
      <c r="D55" s="17" t="s">
        <v>13</v>
      </c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customFormat="false" ht="15" hidden="false" customHeight="true" outlineLevel="0" collapsed="false">
      <c r="B56" s="18"/>
      <c r="C56" s="18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8" customFormat="false" ht="15" hidden="false" customHeight="true" outlineLevel="0" collapsed="false">
      <c r="B58" s="19" t="s">
        <v>14</v>
      </c>
      <c r="C58" s="19"/>
      <c r="D58" s="17" t="s">
        <v>15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customFormat="false" ht="15" hidden="false" customHeight="true" outlineLevel="0" collapsed="false">
      <c r="B59" s="19"/>
      <c r="C59" s="19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1" customFormat="false" ht="15" hidden="false" customHeight="true" outlineLevel="0" collapsed="false">
      <c r="B61" s="20" t="s">
        <v>16</v>
      </c>
      <c r="C61" s="20"/>
      <c r="D61" s="17" t="s">
        <v>17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customFormat="false" ht="15" hidden="false" customHeight="true" outlineLevel="0" collapsed="false">
      <c r="B62" s="20"/>
      <c r="C62" s="20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5" customFormat="false" ht="18" hidden="false" customHeight="true" outlineLevel="0" collapsed="false">
      <c r="B65" s="21" t="s">
        <v>18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customFormat="false" ht="15.75" hidden="false" customHeight="true" outlineLevel="0" collapsed="false">
      <c r="B66" s="22" t="s">
        <v>19</v>
      </c>
      <c r="C66" s="23" t="s">
        <v>20</v>
      </c>
      <c r="E66" s="24" t="s">
        <v>19</v>
      </c>
      <c r="F66" s="23" t="s">
        <v>21</v>
      </c>
      <c r="H66" s="25" t="s">
        <v>19</v>
      </c>
      <c r="I66" s="23" t="s">
        <v>22</v>
      </c>
      <c r="K66" s="26" t="s">
        <v>19</v>
      </c>
      <c r="L66" s="23" t="s">
        <v>23</v>
      </c>
    </row>
    <row r="68" customFormat="false" ht="13.5" hidden="false" customHeight="true" outlineLevel="0" collapsed="false">
      <c r="B68" s="27" t="s">
        <v>24</v>
      </c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</row>
  </sheetData>
  <mergeCells count="26">
    <mergeCell ref="B2:N3"/>
    <mergeCell ref="B4:N4"/>
    <mergeCell ref="B6:C6"/>
    <mergeCell ref="D6:E6"/>
    <mergeCell ref="F6:G6"/>
    <mergeCell ref="H6:I6"/>
    <mergeCell ref="J6:K6"/>
    <mergeCell ref="L6:M6"/>
    <mergeCell ref="B7:C7"/>
    <mergeCell ref="D7:E7"/>
    <mergeCell ref="F7:G7"/>
    <mergeCell ref="H7:I7"/>
    <mergeCell ref="J7:K7"/>
    <mergeCell ref="L7:M7"/>
    <mergeCell ref="B11:N11"/>
    <mergeCell ref="B50:N50"/>
    <mergeCell ref="B52:C53"/>
    <mergeCell ref="D52:N53"/>
    <mergeCell ref="B55:C56"/>
    <mergeCell ref="D55:N56"/>
    <mergeCell ref="B58:C59"/>
    <mergeCell ref="D58:N59"/>
    <mergeCell ref="B61:C62"/>
    <mergeCell ref="D61:N62"/>
    <mergeCell ref="B65:N65"/>
    <mergeCell ref="B68:N68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7" min="6" style="0" width="14"/>
    <col collapsed="false" customWidth="true" hidden="false" outlineLevel="0" max="8" min="8" style="0" width="46"/>
  </cols>
  <sheetData>
    <row r="1" customFormat="false" ht="24" hidden="false" customHeight="true" outlineLevel="0" collapsed="false">
      <c r="A1" s="28" t="s">
        <v>25</v>
      </c>
      <c r="B1" s="28"/>
      <c r="C1" s="28"/>
      <c r="D1" s="28"/>
      <c r="E1" s="28"/>
      <c r="F1" s="28"/>
      <c r="G1" s="28"/>
      <c r="H1" s="28"/>
    </row>
    <row r="3" customFormat="false" ht="19.5" hidden="false" customHeight="true" outlineLevel="0" collapsed="false">
      <c r="A3" s="29" t="s">
        <v>26</v>
      </c>
      <c r="B3" s="29" t="s">
        <v>27</v>
      </c>
      <c r="C3" s="29" t="s">
        <v>28</v>
      </c>
      <c r="D3" s="29" t="s">
        <v>29</v>
      </c>
      <c r="E3" s="29" t="s">
        <v>30</v>
      </c>
      <c r="F3" s="29" t="s">
        <v>31</v>
      </c>
      <c r="G3" s="29" t="s">
        <v>32</v>
      </c>
      <c r="H3" s="29" t="s">
        <v>33</v>
      </c>
    </row>
    <row r="4" customFormat="false" ht="15" hidden="false" customHeight="false" outlineLevel="0" collapsed="false">
      <c r="A4" s="30" t="s">
        <v>34</v>
      </c>
      <c r="B4" s="30" t="s">
        <v>35</v>
      </c>
      <c r="C4" s="30" t="s">
        <v>36</v>
      </c>
      <c r="D4" s="31" t="s">
        <v>37</v>
      </c>
      <c r="E4" s="31" t="s">
        <v>38</v>
      </c>
      <c r="F4" s="31" t="n">
        <v>60</v>
      </c>
      <c r="G4" s="32" t="s">
        <v>20</v>
      </c>
      <c r="H4" s="33"/>
    </row>
    <row r="5" customFormat="false" ht="15" hidden="false" customHeight="false" outlineLevel="0" collapsed="false">
      <c r="A5" s="34" t="s">
        <v>34</v>
      </c>
      <c r="B5" s="34" t="s">
        <v>35</v>
      </c>
      <c r="C5" s="34" t="s">
        <v>39</v>
      </c>
      <c r="D5" s="35" t="s">
        <v>38</v>
      </c>
      <c r="E5" s="35" t="s">
        <v>40</v>
      </c>
      <c r="F5" s="35" t="n">
        <v>60</v>
      </c>
      <c r="G5" s="32" t="s">
        <v>20</v>
      </c>
      <c r="H5" s="36"/>
    </row>
    <row r="6" customFormat="false" ht="15" hidden="false" customHeight="false" outlineLevel="0" collapsed="false">
      <c r="A6" s="30" t="s">
        <v>34</v>
      </c>
      <c r="B6" s="30" t="s">
        <v>35</v>
      </c>
      <c r="C6" s="30" t="s">
        <v>41</v>
      </c>
      <c r="D6" s="31" t="s">
        <v>40</v>
      </c>
      <c r="E6" s="31" t="s">
        <v>42</v>
      </c>
      <c r="F6" s="31" t="n">
        <v>20</v>
      </c>
      <c r="G6" s="32" t="s">
        <v>20</v>
      </c>
      <c r="H6" s="33"/>
    </row>
    <row r="7" customFormat="false" ht="15" hidden="false" customHeight="false" outlineLevel="0" collapsed="false">
      <c r="A7" s="34" t="s">
        <v>34</v>
      </c>
      <c r="B7" s="34" t="s">
        <v>35</v>
      </c>
      <c r="C7" s="34" t="s">
        <v>43</v>
      </c>
      <c r="D7" s="35" t="s">
        <v>42</v>
      </c>
      <c r="E7" s="35" t="s">
        <v>44</v>
      </c>
      <c r="F7" s="35" t="n">
        <v>10</v>
      </c>
      <c r="G7" s="32" t="s">
        <v>20</v>
      </c>
      <c r="H7" s="36"/>
    </row>
    <row r="8" customFormat="false" ht="15" hidden="false" customHeight="false" outlineLevel="0" collapsed="false">
      <c r="A8" s="30" t="s">
        <v>34</v>
      </c>
      <c r="B8" s="30" t="s">
        <v>35</v>
      </c>
      <c r="C8" s="30" t="s">
        <v>45</v>
      </c>
      <c r="D8" s="31" t="s">
        <v>44</v>
      </c>
      <c r="E8" s="31" t="s">
        <v>46</v>
      </c>
      <c r="F8" s="31" t="n">
        <v>15</v>
      </c>
      <c r="G8" s="32" t="s">
        <v>20</v>
      </c>
      <c r="H8" s="33"/>
    </row>
    <row r="9" customFormat="false" ht="15" hidden="false" customHeight="false" outlineLevel="0" collapsed="false">
      <c r="A9" s="34" t="s">
        <v>34</v>
      </c>
      <c r="B9" s="34" t="s">
        <v>35</v>
      </c>
      <c r="C9" s="34" t="s">
        <v>47</v>
      </c>
      <c r="D9" s="35" t="s">
        <v>46</v>
      </c>
      <c r="E9" s="35" t="s">
        <v>48</v>
      </c>
      <c r="F9" s="35" t="n">
        <v>75</v>
      </c>
      <c r="G9" s="32" t="s">
        <v>20</v>
      </c>
      <c r="H9" s="36"/>
    </row>
    <row r="10" customFormat="false" ht="15" hidden="false" customHeight="false" outlineLevel="0" collapsed="false">
      <c r="A10" s="30" t="s">
        <v>34</v>
      </c>
      <c r="B10" s="30" t="s">
        <v>35</v>
      </c>
      <c r="C10" s="30" t="s">
        <v>49</v>
      </c>
      <c r="D10" s="31" t="s">
        <v>48</v>
      </c>
      <c r="E10" s="31" t="s">
        <v>50</v>
      </c>
      <c r="F10" s="31" t="n">
        <v>35</v>
      </c>
      <c r="G10" s="37" t="s">
        <v>21</v>
      </c>
      <c r="H10" s="33"/>
    </row>
    <row r="11" customFormat="false" ht="15" hidden="false" customHeight="false" outlineLevel="0" collapsed="false">
      <c r="A11" s="34" t="s">
        <v>34</v>
      </c>
      <c r="B11" s="34" t="s">
        <v>35</v>
      </c>
      <c r="C11" s="34" t="s">
        <v>51</v>
      </c>
      <c r="D11" s="35" t="s">
        <v>50</v>
      </c>
      <c r="E11" s="35" t="s">
        <v>52</v>
      </c>
      <c r="F11" s="35" t="n">
        <v>25</v>
      </c>
      <c r="G11" s="38" t="s">
        <v>53</v>
      </c>
      <c r="H11" s="36" t="s">
        <v>54</v>
      </c>
    </row>
    <row r="12" customFormat="false" ht="15" hidden="false" customHeight="false" outlineLevel="0" collapsed="false">
      <c r="A12" s="30" t="s">
        <v>55</v>
      </c>
      <c r="B12" s="30" t="s">
        <v>56</v>
      </c>
      <c r="C12" s="30" t="s">
        <v>57</v>
      </c>
      <c r="D12" s="31" t="s">
        <v>58</v>
      </c>
      <c r="E12" s="31" t="s">
        <v>59</v>
      </c>
      <c r="F12" s="31" t="n">
        <v>30</v>
      </c>
      <c r="G12" s="32" t="s">
        <v>20</v>
      </c>
      <c r="H12" s="33"/>
    </row>
    <row r="13" customFormat="false" ht="15" hidden="false" customHeight="false" outlineLevel="0" collapsed="false">
      <c r="A13" s="34" t="s">
        <v>55</v>
      </c>
      <c r="B13" s="34" t="s">
        <v>56</v>
      </c>
      <c r="C13" s="34" t="s">
        <v>60</v>
      </c>
      <c r="D13" s="35" t="s">
        <v>59</v>
      </c>
      <c r="E13" s="35" t="s">
        <v>61</v>
      </c>
      <c r="F13" s="35" t="n">
        <v>15</v>
      </c>
      <c r="G13" s="32" t="s">
        <v>20</v>
      </c>
      <c r="H13" s="36"/>
    </row>
    <row r="14" customFormat="false" ht="15" hidden="false" customHeight="false" outlineLevel="0" collapsed="false">
      <c r="A14" s="30" t="s">
        <v>55</v>
      </c>
      <c r="B14" s="30" t="s">
        <v>56</v>
      </c>
      <c r="C14" s="30" t="s">
        <v>62</v>
      </c>
      <c r="D14" s="31" t="s">
        <v>61</v>
      </c>
      <c r="E14" s="31" t="s">
        <v>63</v>
      </c>
      <c r="F14" s="31" t="n">
        <v>15</v>
      </c>
      <c r="G14" s="32" t="s">
        <v>20</v>
      </c>
      <c r="H14" s="33"/>
    </row>
    <row r="15" customFormat="false" ht="15" hidden="false" customHeight="false" outlineLevel="0" collapsed="false">
      <c r="A15" s="34" t="s">
        <v>55</v>
      </c>
      <c r="B15" s="34" t="s">
        <v>56</v>
      </c>
      <c r="C15" s="34" t="s">
        <v>64</v>
      </c>
      <c r="D15" s="35" t="s">
        <v>63</v>
      </c>
      <c r="E15" s="35" t="s">
        <v>37</v>
      </c>
      <c r="F15" s="35" t="n">
        <v>120</v>
      </c>
      <c r="G15" s="39" t="s">
        <v>65</v>
      </c>
      <c r="H15" s="36" t="s">
        <v>66</v>
      </c>
    </row>
    <row r="16" customFormat="false" ht="15" hidden="false" customHeight="false" outlineLevel="0" collapsed="false">
      <c r="A16" s="30" t="s">
        <v>55</v>
      </c>
      <c r="B16" s="30" t="s">
        <v>56</v>
      </c>
      <c r="C16" s="30" t="s">
        <v>67</v>
      </c>
      <c r="D16" s="31" t="s">
        <v>37</v>
      </c>
      <c r="E16" s="31" t="s">
        <v>68</v>
      </c>
      <c r="F16" s="31" t="n">
        <v>90</v>
      </c>
      <c r="G16" s="32" t="s">
        <v>20</v>
      </c>
      <c r="H16" s="33"/>
    </row>
    <row r="17" customFormat="false" ht="15" hidden="false" customHeight="false" outlineLevel="0" collapsed="false">
      <c r="A17" s="34" t="s">
        <v>55</v>
      </c>
      <c r="B17" s="34" t="s">
        <v>56</v>
      </c>
      <c r="C17" s="34" t="s">
        <v>69</v>
      </c>
      <c r="D17" s="35" t="s">
        <v>68</v>
      </c>
      <c r="E17" s="35" t="s">
        <v>70</v>
      </c>
      <c r="F17" s="35" t="n">
        <v>90</v>
      </c>
      <c r="G17" s="32" t="s">
        <v>20</v>
      </c>
      <c r="H17" s="36"/>
    </row>
    <row r="18" customFormat="false" ht="15" hidden="false" customHeight="false" outlineLevel="0" collapsed="false">
      <c r="A18" s="30" t="s">
        <v>55</v>
      </c>
      <c r="B18" s="30" t="s">
        <v>56</v>
      </c>
      <c r="C18" s="30" t="s">
        <v>49</v>
      </c>
      <c r="D18" s="31" t="s">
        <v>70</v>
      </c>
      <c r="E18" s="31" t="s">
        <v>71</v>
      </c>
      <c r="F18" s="31" t="n">
        <v>30</v>
      </c>
      <c r="G18" s="37" t="s">
        <v>21</v>
      </c>
      <c r="H18" s="33"/>
    </row>
    <row r="19" customFormat="false" ht="15" hidden="false" customHeight="false" outlineLevel="0" collapsed="false">
      <c r="A19" s="34" t="s">
        <v>55</v>
      </c>
      <c r="B19" s="34" t="s">
        <v>56</v>
      </c>
      <c r="C19" s="34" t="s">
        <v>72</v>
      </c>
      <c r="D19" s="35" t="s">
        <v>71</v>
      </c>
      <c r="E19" s="35" t="s">
        <v>73</v>
      </c>
      <c r="F19" s="35" t="n">
        <v>5</v>
      </c>
      <c r="G19" s="38" t="s">
        <v>53</v>
      </c>
      <c r="H19" s="36" t="s">
        <v>74</v>
      </c>
    </row>
    <row r="20" customFormat="false" ht="15" hidden="false" customHeight="false" outlineLevel="0" collapsed="false">
      <c r="A20" s="30" t="s">
        <v>55</v>
      </c>
      <c r="B20" s="30" t="s">
        <v>56</v>
      </c>
      <c r="C20" s="30" t="s">
        <v>36</v>
      </c>
      <c r="D20" s="31" t="s">
        <v>73</v>
      </c>
      <c r="E20" s="31" t="s">
        <v>52</v>
      </c>
      <c r="F20" s="31" t="n">
        <v>85</v>
      </c>
      <c r="G20" s="32" t="s">
        <v>20</v>
      </c>
      <c r="H20" s="33"/>
    </row>
    <row r="21" customFormat="false" ht="15" hidden="false" customHeight="false" outlineLevel="0" collapsed="false">
      <c r="A21" s="34" t="s">
        <v>75</v>
      </c>
      <c r="B21" s="34" t="s">
        <v>76</v>
      </c>
      <c r="C21" s="34" t="s">
        <v>77</v>
      </c>
      <c r="D21" s="35" t="s">
        <v>78</v>
      </c>
      <c r="E21" s="35" t="s">
        <v>79</v>
      </c>
      <c r="F21" s="35" t="n">
        <v>20</v>
      </c>
      <c r="G21" s="32" t="s">
        <v>20</v>
      </c>
      <c r="H21" s="36"/>
    </row>
    <row r="22" customFormat="false" ht="15" hidden="false" customHeight="false" outlineLevel="0" collapsed="false">
      <c r="A22" s="30" t="s">
        <v>75</v>
      </c>
      <c r="B22" s="30" t="s">
        <v>76</v>
      </c>
      <c r="C22" s="30" t="s">
        <v>80</v>
      </c>
      <c r="D22" s="31" t="s">
        <v>79</v>
      </c>
      <c r="E22" s="31" t="s">
        <v>81</v>
      </c>
      <c r="F22" s="31" t="n">
        <v>25</v>
      </c>
      <c r="G22" s="32" t="s">
        <v>20</v>
      </c>
      <c r="H22" s="33"/>
    </row>
    <row r="23" customFormat="false" ht="15" hidden="false" customHeight="false" outlineLevel="0" collapsed="false">
      <c r="A23" s="34" t="s">
        <v>75</v>
      </c>
      <c r="B23" s="34" t="s">
        <v>76</v>
      </c>
      <c r="C23" s="34" t="s">
        <v>82</v>
      </c>
      <c r="D23" s="35" t="s">
        <v>81</v>
      </c>
      <c r="E23" s="35" t="s">
        <v>83</v>
      </c>
      <c r="F23" s="35" t="n">
        <v>10</v>
      </c>
      <c r="G23" s="38" t="s">
        <v>53</v>
      </c>
      <c r="H23" s="36" t="s">
        <v>84</v>
      </c>
    </row>
    <row r="24" customFormat="false" ht="15" hidden="false" customHeight="false" outlineLevel="0" collapsed="false">
      <c r="A24" s="30" t="s">
        <v>75</v>
      </c>
      <c r="B24" s="30" t="s">
        <v>76</v>
      </c>
      <c r="C24" s="30" t="s">
        <v>85</v>
      </c>
      <c r="D24" s="31" t="s">
        <v>83</v>
      </c>
      <c r="E24" s="31" t="s">
        <v>86</v>
      </c>
      <c r="F24" s="31" t="n">
        <v>15</v>
      </c>
      <c r="G24" s="32" t="s">
        <v>20</v>
      </c>
      <c r="H24" s="33"/>
    </row>
    <row r="25" customFormat="false" ht="15" hidden="false" customHeight="false" outlineLevel="0" collapsed="false">
      <c r="A25" s="34" t="s">
        <v>75</v>
      </c>
      <c r="B25" s="34" t="s">
        <v>76</v>
      </c>
      <c r="C25" s="34" t="s">
        <v>87</v>
      </c>
      <c r="D25" s="35" t="s">
        <v>86</v>
      </c>
      <c r="E25" s="35" t="s">
        <v>88</v>
      </c>
      <c r="F25" s="35" t="n">
        <v>35</v>
      </c>
      <c r="G25" s="32" t="s">
        <v>20</v>
      </c>
      <c r="H25" s="36" t="s">
        <v>89</v>
      </c>
    </row>
    <row r="26" customFormat="false" ht="15" hidden="false" customHeight="false" outlineLevel="0" collapsed="false">
      <c r="A26" s="30" t="s">
        <v>75</v>
      </c>
      <c r="B26" s="30" t="s">
        <v>76</v>
      </c>
      <c r="C26" s="30" t="s">
        <v>90</v>
      </c>
      <c r="D26" s="31" t="s">
        <v>88</v>
      </c>
      <c r="E26" s="31" t="s">
        <v>91</v>
      </c>
      <c r="F26" s="31" t="n">
        <v>25</v>
      </c>
      <c r="G26" s="32" t="s">
        <v>20</v>
      </c>
      <c r="H26" s="33"/>
    </row>
    <row r="27" customFormat="false" ht="15" hidden="false" customHeight="false" outlineLevel="0" collapsed="false">
      <c r="A27" s="34" t="s">
        <v>75</v>
      </c>
      <c r="B27" s="34" t="s">
        <v>76</v>
      </c>
      <c r="C27" s="34" t="s">
        <v>92</v>
      </c>
      <c r="D27" s="35" t="s">
        <v>91</v>
      </c>
      <c r="E27" s="35" t="s">
        <v>93</v>
      </c>
      <c r="F27" s="35" t="n">
        <v>3</v>
      </c>
      <c r="G27" s="32" t="s">
        <v>20</v>
      </c>
      <c r="H27" s="36"/>
    </row>
    <row r="28" customFormat="false" ht="15" hidden="false" customHeight="false" outlineLevel="0" collapsed="false">
      <c r="A28" s="30" t="s">
        <v>75</v>
      </c>
      <c r="B28" s="30" t="s">
        <v>76</v>
      </c>
      <c r="C28" s="30" t="s">
        <v>82</v>
      </c>
      <c r="D28" s="31" t="s">
        <v>93</v>
      </c>
      <c r="E28" s="31" t="s">
        <v>94</v>
      </c>
      <c r="F28" s="31" t="n">
        <v>1</v>
      </c>
      <c r="G28" s="38" t="s">
        <v>53</v>
      </c>
      <c r="H28" s="33" t="s">
        <v>95</v>
      </c>
    </row>
    <row r="29" customFormat="false" ht="15" hidden="false" customHeight="false" outlineLevel="0" collapsed="false">
      <c r="A29" s="34" t="s">
        <v>75</v>
      </c>
      <c r="B29" s="34" t="s">
        <v>76</v>
      </c>
      <c r="C29" s="34" t="s">
        <v>96</v>
      </c>
      <c r="D29" s="35" t="s">
        <v>94</v>
      </c>
      <c r="E29" s="35" t="s">
        <v>40</v>
      </c>
      <c r="F29" s="35" t="n">
        <v>16</v>
      </c>
      <c r="G29" s="32" t="s">
        <v>20</v>
      </c>
      <c r="H29" s="36"/>
    </row>
    <row r="30" customFormat="false" ht="15" hidden="false" customHeight="false" outlineLevel="0" collapsed="false">
      <c r="A30" s="30" t="s">
        <v>75</v>
      </c>
      <c r="B30" s="30" t="s">
        <v>76</v>
      </c>
      <c r="C30" s="30" t="s">
        <v>97</v>
      </c>
      <c r="D30" s="31" t="s">
        <v>40</v>
      </c>
      <c r="E30" s="31" t="s">
        <v>42</v>
      </c>
      <c r="F30" s="31" t="n">
        <v>20</v>
      </c>
      <c r="G30" s="32" t="s">
        <v>20</v>
      </c>
      <c r="H30" s="33"/>
    </row>
    <row r="31" customFormat="false" ht="15" hidden="false" customHeight="false" outlineLevel="0" collapsed="false">
      <c r="A31" s="34" t="s">
        <v>75</v>
      </c>
      <c r="B31" s="34" t="s">
        <v>76</v>
      </c>
      <c r="C31" s="34" t="s">
        <v>98</v>
      </c>
      <c r="D31" s="35" t="s">
        <v>42</v>
      </c>
      <c r="E31" s="35" t="s">
        <v>46</v>
      </c>
      <c r="F31" s="35" t="n">
        <v>25</v>
      </c>
      <c r="G31" s="32" t="s">
        <v>20</v>
      </c>
      <c r="H31" s="36"/>
    </row>
    <row r="32" customFormat="false" ht="15" hidden="false" customHeight="false" outlineLevel="0" collapsed="false">
      <c r="A32" s="30" t="s">
        <v>75</v>
      </c>
      <c r="B32" s="30" t="s">
        <v>76</v>
      </c>
      <c r="C32" s="30" t="s">
        <v>99</v>
      </c>
      <c r="D32" s="31" t="s">
        <v>46</v>
      </c>
      <c r="E32" s="31" t="s">
        <v>70</v>
      </c>
      <c r="F32" s="31" t="n">
        <v>15</v>
      </c>
      <c r="G32" s="32" t="s">
        <v>20</v>
      </c>
      <c r="H32" s="33"/>
    </row>
    <row r="33" customFormat="false" ht="15" hidden="false" customHeight="false" outlineLevel="0" collapsed="false">
      <c r="A33" s="34" t="s">
        <v>75</v>
      </c>
      <c r="B33" s="34" t="s">
        <v>76</v>
      </c>
      <c r="C33" s="34" t="s">
        <v>100</v>
      </c>
      <c r="D33" s="35" t="s">
        <v>70</v>
      </c>
      <c r="E33" s="35" t="s">
        <v>71</v>
      </c>
      <c r="F33" s="35" t="n">
        <v>30</v>
      </c>
      <c r="G33" s="37" t="s">
        <v>21</v>
      </c>
      <c r="H33" s="36"/>
    </row>
    <row r="34" customFormat="false" ht="15" hidden="false" customHeight="false" outlineLevel="0" collapsed="false">
      <c r="A34" s="30" t="s">
        <v>101</v>
      </c>
      <c r="B34" s="30" t="s">
        <v>102</v>
      </c>
      <c r="C34" s="30" t="s">
        <v>103</v>
      </c>
      <c r="D34" s="31" t="s">
        <v>78</v>
      </c>
      <c r="E34" s="31" t="s">
        <v>104</v>
      </c>
      <c r="F34" s="31" t="n">
        <v>15</v>
      </c>
      <c r="G34" s="32" t="s">
        <v>20</v>
      </c>
      <c r="H34" s="33"/>
    </row>
    <row r="35" customFormat="false" ht="15" hidden="false" customHeight="false" outlineLevel="0" collapsed="false">
      <c r="A35" s="34" t="s">
        <v>101</v>
      </c>
      <c r="B35" s="34" t="s">
        <v>102</v>
      </c>
      <c r="C35" s="34" t="s">
        <v>105</v>
      </c>
      <c r="D35" s="35" t="s">
        <v>104</v>
      </c>
      <c r="E35" s="35" t="s">
        <v>106</v>
      </c>
      <c r="F35" s="35" t="n">
        <v>25</v>
      </c>
      <c r="G35" s="32" t="s">
        <v>20</v>
      </c>
      <c r="H35" s="36"/>
    </row>
    <row r="36" customFormat="false" ht="15" hidden="false" customHeight="false" outlineLevel="0" collapsed="false">
      <c r="A36" s="30" t="s">
        <v>101</v>
      </c>
      <c r="B36" s="30" t="s">
        <v>102</v>
      </c>
      <c r="C36" s="30" t="s">
        <v>107</v>
      </c>
      <c r="D36" s="31" t="s">
        <v>106</v>
      </c>
      <c r="E36" s="31" t="s">
        <v>108</v>
      </c>
      <c r="F36" s="31" t="n">
        <v>20</v>
      </c>
      <c r="G36" s="32" t="s">
        <v>20</v>
      </c>
      <c r="H36" s="33"/>
    </row>
    <row r="37" customFormat="false" ht="15" hidden="false" customHeight="false" outlineLevel="0" collapsed="false">
      <c r="A37" s="34" t="s">
        <v>101</v>
      </c>
      <c r="B37" s="34" t="s">
        <v>102</v>
      </c>
      <c r="C37" s="34" t="s">
        <v>109</v>
      </c>
      <c r="D37" s="35" t="s">
        <v>108</v>
      </c>
      <c r="E37" s="35" t="s">
        <v>38</v>
      </c>
      <c r="F37" s="35" t="n">
        <v>30</v>
      </c>
      <c r="G37" s="32" t="s">
        <v>20</v>
      </c>
      <c r="H37" s="36"/>
    </row>
    <row r="38" customFormat="false" ht="15" hidden="false" customHeight="false" outlineLevel="0" collapsed="false">
      <c r="A38" s="30" t="s">
        <v>101</v>
      </c>
      <c r="B38" s="30" t="s">
        <v>102</v>
      </c>
      <c r="C38" s="30" t="s">
        <v>49</v>
      </c>
      <c r="D38" s="31" t="s">
        <v>38</v>
      </c>
      <c r="E38" s="31" t="s">
        <v>68</v>
      </c>
      <c r="F38" s="31" t="n">
        <v>30</v>
      </c>
      <c r="G38" s="37" t="s">
        <v>21</v>
      </c>
      <c r="H38" s="33"/>
    </row>
    <row r="39" customFormat="false" ht="15" hidden="false" customHeight="false" outlineLevel="0" collapsed="false">
      <c r="A39" s="34" t="s">
        <v>101</v>
      </c>
      <c r="B39" s="34" t="s">
        <v>102</v>
      </c>
      <c r="C39" s="34" t="s">
        <v>72</v>
      </c>
      <c r="D39" s="35" t="s">
        <v>68</v>
      </c>
      <c r="E39" s="35" t="s">
        <v>91</v>
      </c>
      <c r="F39" s="35" t="n">
        <v>10</v>
      </c>
      <c r="G39" s="38" t="s">
        <v>53</v>
      </c>
      <c r="H39" s="36" t="s">
        <v>110</v>
      </c>
    </row>
    <row r="40" customFormat="false" ht="15" hidden="false" customHeight="false" outlineLevel="0" collapsed="false">
      <c r="A40" s="30" t="s">
        <v>101</v>
      </c>
      <c r="B40" s="30" t="s">
        <v>102</v>
      </c>
      <c r="C40" s="30" t="s">
        <v>111</v>
      </c>
      <c r="D40" s="31" t="s">
        <v>91</v>
      </c>
      <c r="E40" s="31" t="s">
        <v>112</v>
      </c>
      <c r="F40" s="31" t="n">
        <v>150</v>
      </c>
      <c r="G40" s="32" t="s">
        <v>20</v>
      </c>
      <c r="H40" s="33"/>
    </row>
    <row r="41" customFormat="false" ht="15" hidden="false" customHeight="false" outlineLevel="0" collapsed="false">
      <c r="A41" s="34" t="s">
        <v>101</v>
      </c>
      <c r="B41" s="34" t="s">
        <v>102</v>
      </c>
      <c r="C41" s="34" t="s">
        <v>113</v>
      </c>
      <c r="D41" s="35" t="s">
        <v>112</v>
      </c>
      <c r="E41" s="35" t="s">
        <v>114</v>
      </c>
      <c r="F41" s="35" t="n">
        <v>90</v>
      </c>
      <c r="G41" s="32" t="s">
        <v>20</v>
      </c>
      <c r="H41" s="36"/>
    </row>
    <row r="42" customFormat="false" ht="18" hidden="false" customHeight="true" outlineLevel="0" collapsed="false">
      <c r="A42" s="40"/>
      <c r="B42" s="40"/>
      <c r="C42" s="40"/>
      <c r="D42" s="40"/>
      <c r="E42" s="41" t="s">
        <v>115</v>
      </c>
      <c r="F42" s="42" t="n">
        <f aca="false">SUM(F4:F41)</f>
        <v>1390</v>
      </c>
      <c r="G42" s="40"/>
      <c r="H42" s="40"/>
    </row>
  </sheetData>
  <autoFilter ref="A3:H41"/>
  <mergeCells count="1">
    <mergeCell ref="A1:H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EB"/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6"/>
  </cols>
  <sheetData>
    <row r="1" customFormat="false" ht="24" hidden="false" customHeight="true" outlineLevel="0" collapsed="false">
      <c r="A1" s="28" t="s">
        <v>116</v>
      </c>
      <c r="B1" s="28"/>
      <c r="C1" s="28"/>
      <c r="D1" s="28"/>
      <c r="E1" s="28"/>
      <c r="F1" s="28"/>
      <c r="G1" s="28"/>
      <c r="H1" s="28"/>
      <c r="I1" s="28"/>
      <c r="J1" s="28"/>
    </row>
    <row r="3" customFormat="false" ht="30" hidden="false" customHeight="true" outlineLevel="0" collapsed="false">
      <c r="A3" s="43" t="s">
        <v>117</v>
      </c>
      <c r="B3" s="43" t="s">
        <v>118</v>
      </c>
      <c r="C3" s="43" t="s">
        <v>119</v>
      </c>
      <c r="D3" s="43" t="s">
        <v>120</v>
      </c>
      <c r="E3" s="43" t="s">
        <v>121</v>
      </c>
      <c r="F3" s="43" t="s">
        <v>122</v>
      </c>
      <c r="G3" s="43" t="s">
        <v>123</v>
      </c>
      <c r="H3" s="43" t="s">
        <v>124</v>
      </c>
      <c r="I3" s="43" t="s">
        <v>125</v>
      </c>
      <c r="J3" s="43" t="s">
        <v>126</v>
      </c>
    </row>
    <row r="4" customFormat="false" ht="15" hidden="false" customHeight="false" outlineLevel="0" collapsed="false">
      <c r="A4" s="44" t="s">
        <v>34</v>
      </c>
      <c r="B4" s="31" t="n">
        <f aca="false">SUMIFS('Consolidated Data'!$F$4:$F$41,'Consolidated Data'!$A$4:$A$41,$A4)</f>
        <v>300</v>
      </c>
      <c r="C4" s="31" t="n">
        <f aca="false">SUMIFS('Consolidated Data'!$F$4:$F$41,'Consolidated Data'!$A$4:$A$41,$A4,'Consolidated Data'!$G$4:$G$41,"Productive")</f>
        <v>240</v>
      </c>
      <c r="D4" s="31" t="n">
        <f aca="false">SUMIFS('Consolidated Data'!$F$4:$F$41,'Consolidated Data'!$A$4:$A$41,$A4,'Consolidated Data'!$G$4:$G$41,"Break")</f>
        <v>35</v>
      </c>
      <c r="E4" s="31" t="n">
        <f aca="false">SUMIFS('Consolidated Data'!$F$4:$F$41,'Consolidated Data'!$A$4:$A$41,$A4,'Consolidated Data'!$G$4:$G$41,"Gap")</f>
        <v>25</v>
      </c>
      <c r="F4" s="31" t="n">
        <f aca="false">SUMIFS('Consolidated Data'!$F$4:$F$41,'Consolidated Data'!$A$4:$A$41,$A4,'Consolidated Data'!$G$4:$G$41,"Unobserved")</f>
        <v>0</v>
      </c>
      <c r="G4" s="31" t="n">
        <f aca="false">E4+F4</f>
        <v>25</v>
      </c>
      <c r="H4" s="45" t="n">
        <f aca="false">B4/60</f>
        <v>5</v>
      </c>
      <c r="I4" s="46" t="n">
        <f aca="false">IFERROR(C4/B4,0)</f>
        <v>0.8</v>
      </c>
      <c r="J4" s="31" t="n">
        <f aca="false">COUNTIFS('Consolidated Data'!$A$4:$A$41,$A4,'Consolidated Data'!$G$4:$G$41,"Gap")</f>
        <v>1</v>
      </c>
    </row>
    <row r="5" customFormat="false" ht="15" hidden="false" customHeight="false" outlineLevel="0" collapsed="false">
      <c r="A5" s="47" t="s">
        <v>55</v>
      </c>
      <c r="B5" s="35" t="n">
        <f aca="false">SUMIFS('Consolidated Data'!$F$4:$F$41,'Consolidated Data'!$A$4:$A$41,$A5)</f>
        <v>480</v>
      </c>
      <c r="C5" s="35" t="n">
        <f aca="false">SUMIFS('Consolidated Data'!$F$4:$F$41,'Consolidated Data'!$A$4:$A$41,$A5,'Consolidated Data'!$G$4:$G$41,"Productive")</f>
        <v>325</v>
      </c>
      <c r="D5" s="35" t="n">
        <f aca="false">SUMIFS('Consolidated Data'!$F$4:$F$41,'Consolidated Data'!$A$4:$A$41,$A5,'Consolidated Data'!$G$4:$G$41,"Break")</f>
        <v>30</v>
      </c>
      <c r="E5" s="35" t="n">
        <f aca="false">SUMIFS('Consolidated Data'!$F$4:$F$41,'Consolidated Data'!$A$4:$A$41,$A5,'Consolidated Data'!$G$4:$G$41,"Gap")</f>
        <v>5</v>
      </c>
      <c r="F5" s="35" t="n">
        <f aca="false">SUMIFS('Consolidated Data'!$F$4:$F$41,'Consolidated Data'!$A$4:$A$41,$A5,'Consolidated Data'!$G$4:$G$41,"Unobserved")</f>
        <v>120</v>
      </c>
      <c r="G5" s="35" t="n">
        <f aca="false">E5+F5</f>
        <v>125</v>
      </c>
      <c r="H5" s="48" t="n">
        <f aca="false">B5/60</f>
        <v>8</v>
      </c>
      <c r="I5" s="49" t="n">
        <f aca="false">IFERROR(C5/B5,0)</f>
        <v>0.677083333333333</v>
      </c>
      <c r="J5" s="35" t="n">
        <f aca="false">COUNTIFS('Consolidated Data'!$A$4:$A$41,$A5,'Consolidated Data'!$G$4:$G$41,"Gap")</f>
        <v>1</v>
      </c>
    </row>
    <row r="6" customFormat="false" ht="15" hidden="false" customHeight="false" outlineLevel="0" collapsed="false">
      <c r="A6" s="44" t="s">
        <v>75</v>
      </c>
      <c r="B6" s="31" t="n">
        <f aca="false">SUMIFS('Consolidated Data'!$F$4:$F$41,'Consolidated Data'!$A$4:$A$41,$A6)</f>
        <v>240</v>
      </c>
      <c r="C6" s="31" t="n">
        <f aca="false">SUMIFS('Consolidated Data'!$F$4:$F$41,'Consolidated Data'!$A$4:$A$41,$A6,'Consolidated Data'!$G$4:$G$41,"Productive")</f>
        <v>199</v>
      </c>
      <c r="D6" s="31" t="n">
        <f aca="false">SUMIFS('Consolidated Data'!$F$4:$F$41,'Consolidated Data'!$A$4:$A$41,$A6,'Consolidated Data'!$G$4:$G$41,"Break")</f>
        <v>30</v>
      </c>
      <c r="E6" s="31" t="n">
        <f aca="false">SUMIFS('Consolidated Data'!$F$4:$F$41,'Consolidated Data'!$A$4:$A$41,$A6,'Consolidated Data'!$G$4:$G$41,"Gap")</f>
        <v>11</v>
      </c>
      <c r="F6" s="31" t="n">
        <f aca="false">SUMIFS('Consolidated Data'!$F$4:$F$41,'Consolidated Data'!$A$4:$A$41,$A6,'Consolidated Data'!$G$4:$G$41,"Unobserved")</f>
        <v>0</v>
      </c>
      <c r="G6" s="31" t="n">
        <f aca="false">E6+F6</f>
        <v>11</v>
      </c>
      <c r="H6" s="45" t="n">
        <f aca="false">B6/60</f>
        <v>4</v>
      </c>
      <c r="I6" s="46" t="n">
        <f aca="false">IFERROR(C6/B6,0)</f>
        <v>0.829166666666667</v>
      </c>
      <c r="J6" s="31" t="n">
        <f aca="false">COUNTIFS('Consolidated Data'!$A$4:$A$41,$A6,'Consolidated Data'!$G$4:$G$41,"Gap")</f>
        <v>2</v>
      </c>
    </row>
    <row r="7" customFormat="false" ht="15" hidden="false" customHeight="false" outlineLevel="0" collapsed="false">
      <c r="A7" s="47" t="s">
        <v>101</v>
      </c>
      <c r="B7" s="35" t="n">
        <f aca="false">SUMIFS('Consolidated Data'!$F$4:$F$41,'Consolidated Data'!$A$4:$A$41,$A7)</f>
        <v>370</v>
      </c>
      <c r="C7" s="35" t="n">
        <f aca="false">SUMIFS('Consolidated Data'!$F$4:$F$41,'Consolidated Data'!$A$4:$A$41,$A7,'Consolidated Data'!$G$4:$G$41,"Productive")</f>
        <v>330</v>
      </c>
      <c r="D7" s="35" t="n">
        <f aca="false">SUMIFS('Consolidated Data'!$F$4:$F$41,'Consolidated Data'!$A$4:$A$41,$A7,'Consolidated Data'!$G$4:$G$41,"Break")</f>
        <v>30</v>
      </c>
      <c r="E7" s="35" t="n">
        <f aca="false">SUMIFS('Consolidated Data'!$F$4:$F$41,'Consolidated Data'!$A$4:$A$41,$A7,'Consolidated Data'!$G$4:$G$41,"Gap")</f>
        <v>10</v>
      </c>
      <c r="F7" s="35" t="n">
        <f aca="false">SUMIFS('Consolidated Data'!$F$4:$F$41,'Consolidated Data'!$A$4:$A$41,$A7,'Consolidated Data'!$G$4:$G$41,"Unobserved")</f>
        <v>0</v>
      </c>
      <c r="G7" s="35" t="n">
        <f aca="false">E7+F7</f>
        <v>10</v>
      </c>
      <c r="H7" s="48" t="n">
        <f aca="false">B7/60</f>
        <v>6.16666666666667</v>
      </c>
      <c r="I7" s="49" t="n">
        <f aca="false">IFERROR(C7/B7,0)</f>
        <v>0.891891891891892</v>
      </c>
      <c r="J7" s="35" t="n">
        <f aca="false">COUNTIFS('Consolidated Data'!$A$4:$A$41,$A7,'Consolidated Data'!$G$4:$G$41,"Gap")</f>
        <v>1</v>
      </c>
    </row>
    <row r="8" customFormat="false" ht="15" hidden="false" customHeight="false" outlineLevel="0" collapsed="false">
      <c r="A8" s="42" t="s">
        <v>127</v>
      </c>
      <c r="B8" s="42" t="n">
        <f aca="false">SUM(B4:B7)</f>
        <v>1390</v>
      </c>
      <c r="C8" s="42" t="n">
        <f aca="false">SUM(C4:C7)</f>
        <v>1094</v>
      </c>
      <c r="D8" s="42" t="n">
        <f aca="false">SUM(D4:D7)</f>
        <v>125</v>
      </c>
      <c r="E8" s="42" t="n">
        <f aca="false">SUM(E4:E7)</f>
        <v>51</v>
      </c>
      <c r="F8" s="42" t="n">
        <f aca="false">SUM(F4:F7)</f>
        <v>120</v>
      </c>
      <c r="G8" s="42" t="n">
        <f aca="false">SUM(G4:G7)</f>
        <v>171</v>
      </c>
      <c r="H8" s="50" t="n">
        <f aca="false">SUM(H4:H7)</f>
        <v>23.1666666666667</v>
      </c>
      <c r="I8" s="51" t="n">
        <f aca="false">IFERROR(C8/B8,0)</f>
        <v>0.78705035971223</v>
      </c>
      <c r="J8" s="42" t="n">
        <f aca="false">SUM(J4:J7)</f>
        <v>5</v>
      </c>
    </row>
    <row r="10" customFormat="false" ht="15" hidden="false" customHeight="false" outlineLevel="0" collapsed="false">
      <c r="A10" s="52" t="s">
        <v>128</v>
      </c>
    </row>
    <row r="11" customFormat="false" ht="15" hidden="false" customHeight="false" outlineLevel="0" collapsed="false">
      <c r="A11" s="53" t="s">
        <v>124</v>
      </c>
      <c r="B11" s="54" t="n">
        <f aca="false">H8</f>
        <v>23.1666666666667</v>
      </c>
    </row>
    <row r="12" customFormat="false" ht="15" hidden="false" customHeight="false" outlineLevel="0" collapsed="false">
      <c r="A12" s="53" t="s">
        <v>129</v>
      </c>
      <c r="B12" s="54" t="n">
        <f aca="false">C8/60</f>
        <v>18.2333333333333</v>
      </c>
    </row>
    <row r="13" customFormat="false" ht="15" hidden="false" customHeight="false" outlineLevel="0" collapsed="false">
      <c r="A13" s="53" t="s">
        <v>130</v>
      </c>
      <c r="B13" s="54" t="n">
        <f aca="false">G8/60</f>
        <v>2.85</v>
      </c>
    </row>
    <row r="14" customFormat="false" ht="15" hidden="false" customHeight="false" outlineLevel="0" collapsed="false">
      <c r="A14" s="53" t="s">
        <v>131</v>
      </c>
      <c r="B14" s="54" t="n">
        <f aca="false">I8*100</f>
        <v>78.705035971223</v>
      </c>
    </row>
    <row r="15" customFormat="false" ht="15" hidden="false" customHeight="false" outlineLevel="0" collapsed="false">
      <c r="A15" s="52" t="s">
        <v>132</v>
      </c>
    </row>
    <row r="16" customFormat="false" ht="15" hidden="false" customHeight="false" outlineLevel="0" collapsed="false">
      <c r="A16" s="0" t="s">
        <v>20</v>
      </c>
      <c r="B16" s="0" t="n">
        <f aca="false">C8</f>
        <v>1094</v>
      </c>
    </row>
    <row r="17" customFormat="false" ht="15" hidden="false" customHeight="false" outlineLevel="0" collapsed="false">
      <c r="A17" s="0" t="s">
        <v>21</v>
      </c>
      <c r="B17" s="0" t="n">
        <f aca="false">D8</f>
        <v>125</v>
      </c>
    </row>
    <row r="18" customFormat="false" ht="15" hidden="false" customHeight="false" outlineLevel="0" collapsed="false">
      <c r="A18" s="0" t="s">
        <v>53</v>
      </c>
      <c r="B18" s="0" t="n">
        <f aca="false">E8</f>
        <v>51</v>
      </c>
    </row>
    <row r="19" customFormat="false" ht="15" hidden="false" customHeight="false" outlineLevel="0" collapsed="false">
      <c r="A19" s="0" t="s">
        <v>65</v>
      </c>
      <c r="B19" s="0" t="n">
        <f aca="false">F8</f>
        <v>120</v>
      </c>
    </row>
  </sheetData>
  <mergeCells count="1">
    <mergeCell ref="A1:J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4550"/>
    <pageSetUpPr fitToPage="tru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7" min="6" style="0" width="40"/>
  </cols>
  <sheetData>
    <row r="1" customFormat="false" ht="24" hidden="false" customHeight="true" outlineLevel="0" collapsed="false">
      <c r="A1" s="28" t="s">
        <v>133</v>
      </c>
      <c r="B1" s="28"/>
      <c r="C1" s="28"/>
      <c r="D1" s="28"/>
      <c r="E1" s="28"/>
      <c r="F1" s="28"/>
      <c r="G1" s="28"/>
    </row>
    <row r="3" customFormat="false" ht="19.5" hidden="false" customHeight="true" outlineLevel="0" collapsed="false">
      <c r="A3" s="43" t="s">
        <v>117</v>
      </c>
      <c r="B3" s="43" t="s">
        <v>134</v>
      </c>
      <c r="C3" s="43" t="s">
        <v>29</v>
      </c>
      <c r="D3" s="43" t="s">
        <v>30</v>
      </c>
      <c r="E3" s="43" t="s">
        <v>31</v>
      </c>
      <c r="F3" s="43" t="s">
        <v>135</v>
      </c>
      <c r="G3" s="43" t="s">
        <v>136</v>
      </c>
    </row>
    <row r="4" customFormat="false" ht="30" hidden="false" customHeight="true" outlineLevel="0" collapsed="false">
      <c r="A4" s="55" t="s">
        <v>34</v>
      </c>
      <c r="B4" s="56" t="s">
        <v>53</v>
      </c>
      <c r="C4" s="57" t="s">
        <v>50</v>
      </c>
      <c r="D4" s="57" t="s">
        <v>52</v>
      </c>
      <c r="E4" s="57" t="n">
        <v>25</v>
      </c>
      <c r="F4" s="58" t="s">
        <v>137</v>
      </c>
      <c r="G4" s="59" t="s">
        <v>138</v>
      </c>
    </row>
    <row r="5" customFormat="false" ht="30" hidden="false" customHeight="true" outlineLevel="0" collapsed="false">
      <c r="A5" s="60" t="s">
        <v>55</v>
      </c>
      <c r="B5" s="61" t="s">
        <v>139</v>
      </c>
      <c r="C5" s="62" t="s">
        <v>63</v>
      </c>
      <c r="D5" s="62" t="s">
        <v>37</v>
      </c>
      <c r="E5" s="62" t="n">
        <v>120</v>
      </c>
      <c r="F5" s="63" t="s">
        <v>140</v>
      </c>
      <c r="G5" s="64" t="s">
        <v>141</v>
      </c>
    </row>
    <row r="6" customFormat="false" ht="30" hidden="false" customHeight="true" outlineLevel="0" collapsed="false">
      <c r="A6" s="55" t="s">
        <v>55</v>
      </c>
      <c r="B6" s="56" t="s">
        <v>53</v>
      </c>
      <c r="C6" s="57" t="s">
        <v>71</v>
      </c>
      <c r="D6" s="57" t="s">
        <v>73</v>
      </c>
      <c r="E6" s="57" t="n">
        <v>5</v>
      </c>
      <c r="F6" s="58" t="s">
        <v>142</v>
      </c>
      <c r="G6" s="59" t="s">
        <v>143</v>
      </c>
    </row>
    <row r="7" customFormat="false" ht="30" hidden="false" customHeight="true" outlineLevel="0" collapsed="false">
      <c r="A7" s="60" t="s">
        <v>75</v>
      </c>
      <c r="B7" s="65" t="s">
        <v>53</v>
      </c>
      <c r="C7" s="62" t="s">
        <v>81</v>
      </c>
      <c r="D7" s="62" t="s">
        <v>83</v>
      </c>
      <c r="E7" s="62" t="n">
        <v>10</v>
      </c>
      <c r="F7" s="63" t="s">
        <v>144</v>
      </c>
      <c r="G7" s="64" t="s">
        <v>145</v>
      </c>
    </row>
    <row r="8" customFormat="false" ht="30" hidden="false" customHeight="true" outlineLevel="0" collapsed="false">
      <c r="A8" s="55" t="s">
        <v>75</v>
      </c>
      <c r="B8" s="56" t="s">
        <v>53</v>
      </c>
      <c r="C8" s="57" t="s">
        <v>93</v>
      </c>
      <c r="D8" s="57" t="s">
        <v>94</v>
      </c>
      <c r="E8" s="57" t="n">
        <v>1</v>
      </c>
      <c r="F8" s="58" t="s">
        <v>146</v>
      </c>
      <c r="G8" s="59" t="s">
        <v>147</v>
      </c>
    </row>
    <row r="9" customFormat="false" ht="30" hidden="false" customHeight="true" outlineLevel="0" collapsed="false">
      <c r="A9" s="60" t="s">
        <v>101</v>
      </c>
      <c r="B9" s="65" t="s">
        <v>53</v>
      </c>
      <c r="C9" s="62" t="s">
        <v>68</v>
      </c>
      <c r="D9" s="62" t="s">
        <v>91</v>
      </c>
      <c r="E9" s="62" t="n">
        <v>10</v>
      </c>
      <c r="F9" s="63" t="s">
        <v>148</v>
      </c>
      <c r="G9" s="64" t="s">
        <v>149</v>
      </c>
    </row>
    <row r="10" customFormat="false" ht="15" hidden="false" customHeight="false" outlineLevel="0" collapsed="false">
      <c r="A10" s="40"/>
      <c r="B10" s="40"/>
      <c r="C10" s="40"/>
      <c r="D10" s="41" t="s">
        <v>150</v>
      </c>
      <c r="E10" s="42" t="n">
        <f aca="false">SUM(E4:E9)</f>
        <v>171</v>
      </c>
      <c r="F10" s="40"/>
      <c r="G10" s="40"/>
    </row>
  </sheetData>
  <mergeCells count="1">
    <mergeCell ref="A1:G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2026-09-01T09:33:01Z</dcterms:created>
  <dc:creator>Work Study Analysis Team</dc:creator>
  <dc:description/>
  <dc:language>en-US</dc:language>
  <cp:lastModifiedBy/>
  <dcterms:modified xsi:type="dcterms:W3CDTF">2026-09-01T09:33:04Z</dcterms:modified>
  <cp:revision>1</cp:revision>
  <dc:subject>Consolidated gap analysis and utilization dashboard for UHT, Nestamolt Filling, Tote Bin (Nestamolt and Milo) and Niro studies</dc:subject>
  <dc:title>Work Study &amp; Time-Motion Analysis Dashboard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